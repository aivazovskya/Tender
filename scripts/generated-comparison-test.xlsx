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онкурентный лист" state="visible" r:id="rId4"/>
  </sheets>
  <calcPr calcId="171027"/>
</workbook>
</file>

<file path=xl/sharedStrings.xml><?xml version="1.0" encoding="utf-8"?>
<sst xmlns="http://schemas.openxmlformats.org/spreadsheetml/2006/main" count="153" uniqueCount="120">
  <si>
    <t>Конкурентный лист</t>
  </si>
  <si>
    <t>по выбору поставщика</t>
  </si>
  <si>
    <t>ТЕНДЕР НОМЕР 5489-ОТ</t>
  </si>
  <si>
    <t>Торговая площадка:  goszakup.gov.kz</t>
  </si>
  <si>
    <t>Заказчик:  ТОО "СП "КазГерМунай" (БИН: 931240000123)</t>
  </si>
  <si>
    <t>Начало:  10.01.2024г.</t>
  </si>
  <si>
    <t>Вскрытие:  22.01.2024г.</t>
  </si>
  <si>
    <t>Курс валют Нац.Банка РК: 1 рос. рубль = 5,65 тенге</t>
  </si>
  <si>
    <t>25.08.2026г.</t>
  </si>
  <si>
    <t>№</t>
  </si>
  <si>
    <t>Наименование</t>
  </si>
  <si>
    <t>Данные по бюджету (Перечень закупок/ Инвест.программа)</t>
  </si>
  <si>
    <t>Поставщик № 1  ★ [ВЫБРАННЫЙ ПОБЕДИТЕЛЬ]</t>
  </si>
  <si>
    <t>Поставщик № 2</t>
  </si>
  <si>
    <t>Поставщик № 3</t>
  </si>
  <si>
    <t xml:space="preserve">Доход
(Маржа)</t>
  </si>
  <si>
    <t xml:space="preserve">Доход
БЕЗ кредита</t>
  </si>
  <si>
    <t xml:space="preserve">Доход
с вычетом кредита
(75 дн.)</t>
  </si>
  <si>
    <t xml:space="preserve">НДС 12%
(тенге)</t>
  </si>
  <si>
    <t xml:space="preserve">Рентабельность
(%)</t>
  </si>
  <si>
    <t>1</t>
  </si>
  <si>
    <t xml:space="preserve">Наименование поставщика: </t>
  </si>
  <si>
    <t>ТОО "Nord Chemical KZ"</t>
  </si>
  <si>
    <t>АО "Казэнергокабель"</t>
  </si>
  <si>
    <t>ТОО "MetaTrade Logistics"</t>
  </si>
  <si>
    <t>2</t>
  </si>
  <si>
    <t>Адрес:</t>
  </si>
  <si>
    <t>г. Алматы, ул. Райымбека 115</t>
  </si>
  <si>
    <t>г. Павлодар, Пром. Зона Северная 6/2</t>
  </si>
  <si>
    <t>г. Астана, ул. Достык 18</t>
  </si>
  <si>
    <t>3</t>
  </si>
  <si>
    <t>Е-mail:</t>
  </si>
  <si>
    <t>info@nordchemical.kz</t>
  </si>
  <si>
    <t>Astana-kazkabel@mail.ru</t>
  </si>
  <si>
    <t>sales@metatrade.kz</t>
  </si>
  <si>
    <t>4</t>
  </si>
  <si>
    <t>Телефон:</t>
  </si>
  <si>
    <t>+7 727 345-67-89</t>
  </si>
  <si>
    <t>87471132590</t>
  </si>
  <si>
    <t>+7 7172 70-80-90</t>
  </si>
  <si>
    <t>5</t>
  </si>
  <si>
    <t>Код МПЗ из "Ellipse"</t>
  </si>
  <si>
    <t>Наименование товара, работ, услуг</t>
  </si>
  <si>
    <t>ед.изм.</t>
  </si>
  <si>
    <t xml:space="preserve">кол-во </t>
  </si>
  <si>
    <t xml:space="preserve">Цена за ед.
в тенге,
с НДС 0 %</t>
  </si>
  <si>
    <t xml:space="preserve">Сумма
в тенге,
с НДС 0 %</t>
  </si>
  <si>
    <t xml:space="preserve">Цена за ед.
в тенге,
с НДС 12 %</t>
  </si>
  <si>
    <t xml:space="preserve">Сумма
в тенге,
с НДС 12 %</t>
  </si>
  <si>
    <t>Предлагаемое наименование</t>
  </si>
  <si>
    <t xml:space="preserve">Цена за ед.
в рублях,
с НДС 0 %</t>
  </si>
  <si>
    <t xml:space="preserve">Сумма
в рублях,
с НДС 0 %</t>
  </si>
  <si>
    <t>тенге</t>
  </si>
  <si>
    <t>%</t>
  </si>
  <si>
    <t>10045892</t>
  </si>
  <si>
    <t>Охлаждающая жидкость Антифриз G12 (-40°C), канистра 20л</t>
  </si>
  <si>
    <t>литр</t>
  </si>
  <si>
    <t>Антифриз Nord Frost G12 Red (-40°C)</t>
  </si>
  <si>
    <t>Антифриз КАЗ-ФРОСТ G12 (-40°C)</t>
  </si>
  <si>
    <t>Антифриз SINTEC LUX G12 (-40°C)</t>
  </si>
  <si>
    <t/>
  </si>
  <si>
    <t>10045893</t>
  </si>
  <si>
    <t>Концентрат охлаждающей жидкости Антифриз G12 Plus (-65°C)</t>
  </si>
  <si>
    <t>Концентрат Nord Frost G12+ (-65°C)</t>
  </si>
  <si>
    <t>Концентрат КАЗ-ФРОСТ G12+ (-65°C)</t>
  </si>
  <si>
    <t>Концентрат SINTEC G12+ (-65°C)</t>
  </si>
  <si>
    <t>6</t>
  </si>
  <si>
    <t xml:space="preserve">Итого сумма </t>
  </si>
  <si>
    <t>7</t>
  </si>
  <si>
    <t>Итого сумма закупа (с учетом скидок) по каждому Поставщику</t>
  </si>
  <si>
    <t>8</t>
  </si>
  <si>
    <t xml:space="preserve">Условия оплаты </t>
  </si>
  <si>
    <t>100% постоплата в течение 30 календарных дней</t>
  </si>
  <si>
    <t>По факту поставки в течение 45 дней</t>
  </si>
  <si>
    <t>30% предоплата, 70% по факту</t>
  </si>
  <si>
    <t>9</t>
  </si>
  <si>
    <t>Форма оплаты</t>
  </si>
  <si>
    <t>Безналичный расчет в KZT</t>
  </si>
  <si>
    <t>10</t>
  </si>
  <si>
    <t>Размер обеспечения тендерной заявки</t>
  </si>
  <si>
    <t>150 000 ₸</t>
  </si>
  <si>
    <t>11</t>
  </si>
  <si>
    <t xml:space="preserve">Срок поставки/выполнения работ  </t>
  </si>
  <si>
    <t>В течение 15 календарных дней с момента заявки</t>
  </si>
  <si>
    <t>До 20 дней</t>
  </si>
  <si>
    <t>30 дней</t>
  </si>
  <si>
    <t>12</t>
  </si>
  <si>
    <t xml:space="preserve">Гарантийный срок </t>
  </si>
  <si>
    <t>24 месяца</t>
  </si>
  <si>
    <t>12 месяцев</t>
  </si>
  <si>
    <t>13</t>
  </si>
  <si>
    <t>Базис поставки (согласно Инкотермс-2010)</t>
  </si>
  <si>
    <t>DDP склад Покупателя (м/р Акшабулак)</t>
  </si>
  <si>
    <t>DDP Акшабулак</t>
  </si>
  <si>
    <t>DDP склад</t>
  </si>
  <si>
    <t>14</t>
  </si>
  <si>
    <t>Способ доставки (ж/д, авиа, авто)</t>
  </si>
  <si>
    <t>Автотранспорт Поставщика</t>
  </si>
  <si>
    <t>Авто</t>
  </si>
  <si>
    <t>Ж/Д и авто</t>
  </si>
  <si>
    <t>15</t>
  </si>
  <si>
    <t>Толеранс</t>
  </si>
  <si>
    <t>± 0%</t>
  </si>
  <si>
    <t>0%</t>
  </si>
  <si>
    <t>± 5%</t>
  </si>
  <si>
    <t>16</t>
  </si>
  <si>
    <t>Номер и дата ценового предложения</t>
  </si>
  <si>
    <t>№ 12-КП от 15.01.2024г.</t>
  </si>
  <si>
    <t>№ 21-603 от 09.12.2021г.</t>
  </si>
  <si>
    <t>№ MT-44 от 18.01.2024г.</t>
  </si>
  <si>
    <t>17</t>
  </si>
  <si>
    <t>Поставщик по ПСД</t>
  </si>
  <si>
    <t>Да</t>
  </si>
  <si>
    <t>Нет</t>
  </si>
  <si>
    <t>18</t>
  </si>
  <si>
    <t>Дополнительная информация</t>
  </si>
  <si>
    <t>Официальный дистрибьютор, сертификаты СТ-KZ в наличии</t>
  </si>
  <si>
    <t>Прямой производитель</t>
  </si>
  <si>
    <t>Поставка из РФ</t>
  </si>
  <si>
    <t>КРЕДИТ: 6 354 250 тг на 75 дней = 165 475 тг расходов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</si>
</sst>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₸"/>
  </numFmts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b/>
      <sz val="12"/>
      <name val="Times New Roman"/>
    </font>
    <font>
      <sz val="11"/>
      <name val="Times New Roman"/>
    </font>
    <font>
      <b/>
      <sz val="11"/>
      <name val="Times New Roman"/>
    </font>
    <font>
      <sz val="12"/>
      <name val="Times New Roman"/>
    </font>
    <font>
      <b/>
      <sz val="13"/>
      <name val="Times New Roman"/>
    </font>
    <font>
      <sz val="14"/>
      <name val="Times New Roman"/>
    </font>
    <font>
      <b/>
      <color rgb="FF1E293B"/>
      <sz val="12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CCFFCC"/>
      </patternFill>
    </fill>
    <fill>
      <patternFill patternType="solid">
        <fgColor rgb="FFFFCC99"/>
      </patternFill>
    </fill>
    <fill>
      <patternFill patternType="solid">
        <fgColor rgb="FF99CCF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0" fontId="1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0" fillId="0" borderId="1" xfId="0" applyBorder="1"/>
    <xf numFmtId="4" fontId="2" fillId="2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4" fontId="2" fillId="4" borderId="1" xfId="0" applyNumberFormat="1" applyFont="1" applyFill="1" applyBorder="1" applyAlignment="1">
      <alignment horizontal="right" vertical="center"/>
    </xf>
    <xf numFmtId="4" fontId="2" fillId="5" borderId="1" xfId="0" applyNumberFormat="1" applyFont="1" applyFill="1" applyBorder="1" applyAlignment="1">
      <alignment horizontal="right" vertical="center"/>
    </xf>
    <xf numFmtId="10" fontId="2" fillId="5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32"/>
  <sheetViews>
    <sheetView workbookViewId="0"/>
  </sheetViews>
  <sheetFormatPr defaultRowHeight="15" outlineLevelRow="0" outlineLevelCol="0" x14ac:dyDescent="55"/>
  <cols>
    <col min="1" max="1" width="6" customWidth="1"/>
    <col min="2" max="2" width="16" customWidth="1"/>
    <col min="3" max="3" width="40" customWidth="1"/>
    <col min="4" max="4" width="10" customWidth="1"/>
    <col min="5" max="5" width="12" customWidth="1"/>
    <col min="6" max="6" width="16" customWidth="1"/>
    <col min="7" max="7" width="18" customWidth="1"/>
    <col min="8" max="8" width="16" customWidth="1"/>
    <col min="9" max="9" width="18" customWidth="1"/>
    <col min="10" max="10" width="30" customWidth="1"/>
    <col min="11" max="11" width="15" customWidth="1"/>
    <col min="12" max="12" width="16" customWidth="1"/>
    <col min="13" max="13" width="15" customWidth="1"/>
    <col min="14" max="14" width="16" customWidth="1"/>
    <col min="15" max="15" width="15" customWidth="1"/>
    <col min="16" max="16" width="16" customWidth="1"/>
    <col min="17" max="17" width="30" customWidth="1"/>
    <col min="18" max="18" width="15" customWidth="1"/>
    <col min="19" max="19" width="16" customWidth="1"/>
    <col min="20" max="20" width="15" customWidth="1"/>
    <col min="21" max="21" width="16" customWidth="1"/>
    <col min="22" max="22" width="15" customWidth="1"/>
    <col min="23" max="23" width="16" customWidth="1"/>
    <col min="24" max="24" width="30" customWidth="1"/>
    <col min="25" max="25" width="15" customWidth="1"/>
    <col min="26" max="26" width="16" customWidth="1"/>
    <col min="27" max="27" width="15" customWidth="1"/>
    <col min="28" max="28" width="16" customWidth="1"/>
    <col min="29" max="29" width="15" customWidth="1"/>
    <col min="30" max="30" width="16" customWidth="1"/>
    <col min="31" max="32" width="18" customWidth="1"/>
    <col min="33" max="33" width="20" customWidth="1"/>
    <col min="34" max="34" width="14" customWidth="1"/>
    <col min="35" max="35" width="16" customWidth="1"/>
  </cols>
  <sheetData>
    <row r="2" ht="20" customHeight="1" spans="1:3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0" customHeight="1" spans="1:35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8" customHeight="1" spans="3:10" x14ac:dyDescent="0.25">
      <c r="C4" s="2" t="s">
        <v>2</v>
      </c>
      <c r="D4" s="2"/>
      <c r="E4" s="2"/>
      <c r="F4" s="2"/>
      <c r="G4" s="2"/>
      <c r="H4" s="2"/>
      <c r="I4" s="2"/>
      <c r="J4" s="2"/>
    </row>
    <row r="5" ht="18" customHeight="1" spans="1:10" x14ac:dyDescent="0.2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</row>
    <row r="6" ht="18" customHeight="1" spans="1:15" x14ac:dyDescent="0.25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8" customHeight="1" spans="1:10" x14ac:dyDescent="0.25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</row>
    <row r="8" ht="18" customHeight="1" spans="1:10" x14ac:dyDescent="0.25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ht="18" customHeight="1" spans="1:35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AI9" s="3" t="s">
        <v>8</v>
      </c>
    </row>
    <row r="10" ht="24" customHeight="1" spans="1:35" x14ac:dyDescent="0.25">
      <c r="A10" s="4" t="s">
        <v>9</v>
      </c>
      <c r="B10" s="4" t="s">
        <v>10</v>
      </c>
      <c r="C10" s="4"/>
      <c r="D10" s="4"/>
      <c r="E10" s="4"/>
      <c r="F10" s="5" t="s">
        <v>11</v>
      </c>
      <c r="G10" s="5"/>
      <c r="H10" s="5"/>
      <c r="I10" s="5"/>
      <c r="J10" s="6" t="s">
        <v>12</v>
      </c>
      <c r="K10" s="6"/>
      <c r="L10" s="6"/>
      <c r="M10" s="6"/>
      <c r="N10" s="6"/>
      <c r="O10" s="6"/>
      <c r="P10" s="6"/>
      <c r="Q10" s="7" t="s">
        <v>13</v>
      </c>
      <c r="R10" s="7"/>
      <c r="S10" s="7"/>
      <c r="T10" s="7"/>
      <c r="U10" s="7"/>
      <c r="V10" s="7"/>
      <c r="W10" s="7"/>
      <c r="X10" s="7" t="s">
        <v>14</v>
      </c>
      <c r="Y10" s="7"/>
      <c r="Z10" s="7"/>
      <c r="AA10" s="7"/>
      <c r="AB10" s="7"/>
      <c r="AC10" s="7"/>
      <c r="AD10" s="7"/>
      <c r="AE10" s="8" t="s">
        <v>15</v>
      </c>
      <c r="AF10" s="8" t="s">
        <v>16</v>
      </c>
      <c r="AG10" s="8" t="s">
        <v>17</v>
      </c>
      <c r="AH10" s="8" t="s">
        <v>18</v>
      </c>
      <c r="AI10" s="8" t="s">
        <v>19</v>
      </c>
    </row>
    <row r="11" spans="1:35" x14ac:dyDescent="0.25">
      <c r="A11" s="4" t="s">
        <v>20</v>
      </c>
      <c r="B11" s="9" t="s">
        <v>21</v>
      </c>
      <c r="C11" s="9"/>
      <c r="D11" s="9"/>
      <c r="E11" s="9"/>
      <c r="F11" s="5"/>
      <c r="G11" s="5"/>
      <c r="H11" s="5"/>
      <c r="I11" s="5"/>
      <c r="J11" s="10" t="s">
        <v>22</v>
      </c>
      <c r="K11" s="10"/>
      <c r="L11" s="10"/>
      <c r="M11" s="10"/>
      <c r="N11" s="10"/>
      <c r="O11" s="10"/>
      <c r="P11" s="10"/>
      <c r="Q11" s="11" t="s">
        <v>23</v>
      </c>
      <c r="R11" s="11"/>
      <c r="S11" s="11"/>
      <c r="T11" s="11"/>
      <c r="U11" s="11"/>
      <c r="V11" s="11"/>
      <c r="W11" s="11"/>
      <c r="X11" s="11" t="s">
        <v>24</v>
      </c>
      <c r="Y11" s="11"/>
      <c r="Z11" s="11"/>
      <c r="AA11" s="11"/>
      <c r="AB11" s="11"/>
      <c r="AC11" s="11"/>
      <c r="AD11" s="11"/>
      <c r="AE11" s="8"/>
      <c r="AF11" s="8"/>
      <c r="AG11" s="8"/>
      <c r="AH11" s="8"/>
      <c r="AI11" s="8"/>
    </row>
    <row r="12" spans="1:35" x14ac:dyDescent="0.25">
      <c r="A12" s="4" t="s">
        <v>25</v>
      </c>
      <c r="B12" s="9" t="s">
        <v>26</v>
      </c>
      <c r="C12" s="9"/>
      <c r="D12" s="9"/>
      <c r="E12" s="9"/>
      <c r="F12" s="5"/>
      <c r="G12" s="5"/>
      <c r="H12" s="5"/>
      <c r="I12" s="5"/>
      <c r="J12" s="12" t="s">
        <v>27</v>
      </c>
      <c r="K12" s="12"/>
      <c r="L12" s="12"/>
      <c r="M12" s="12"/>
      <c r="N12" s="12"/>
      <c r="O12" s="12"/>
      <c r="P12" s="12"/>
      <c r="Q12" s="13" t="s">
        <v>28</v>
      </c>
      <c r="R12" s="13"/>
      <c r="S12" s="13"/>
      <c r="T12" s="13"/>
      <c r="U12" s="13"/>
      <c r="V12" s="13"/>
      <c r="W12" s="13"/>
      <c r="X12" s="13" t="s">
        <v>29</v>
      </c>
      <c r="Y12" s="13"/>
      <c r="Z12" s="13"/>
      <c r="AA12" s="13"/>
      <c r="AB12" s="13"/>
      <c r="AC12" s="13"/>
      <c r="AD12" s="13"/>
      <c r="AE12" s="8"/>
      <c r="AF12" s="8"/>
      <c r="AG12" s="8"/>
      <c r="AH12" s="8"/>
      <c r="AI12" s="8"/>
    </row>
    <row r="13" spans="1:35" x14ac:dyDescent="0.25">
      <c r="A13" s="4" t="s">
        <v>30</v>
      </c>
      <c r="B13" s="9" t="s">
        <v>31</v>
      </c>
      <c r="C13" s="9"/>
      <c r="D13" s="9"/>
      <c r="E13" s="9"/>
      <c r="F13" s="5"/>
      <c r="G13" s="5"/>
      <c r="H13" s="5"/>
      <c r="I13" s="5"/>
      <c r="J13" s="14" t="s">
        <v>32</v>
      </c>
      <c r="K13" s="14"/>
      <c r="L13" s="14"/>
      <c r="M13" s="14"/>
      <c r="N13" s="14"/>
      <c r="O13" s="14"/>
      <c r="P13" s="14"/>
      <c r="Q13" s="15" t="s">
        <v>33</v>
      </c>
      <c r="R13" s="15"/>
      <c r="S13" s="15"/>
      <c r="T13" s="15"/>
      <c r="U13" s="15"/>
      <c r="V13" s="15"/>
      <c r="W13" s="15"/>
      <c r="X13" s="15" t="s">
        <v>34</v>
      </c>
      <c r="Y13" s="15"/>
      <c r="Z13" s="15"/>
      <c r="AA13" s="15"/>
      <c r="AB13" s="15"/>
      <c r="AC13" s="15"/>
      <c r="AD13" s="15"/>
      <c r="AE13" s="8"/>
      <c r="AF13" s="8"/>
      <c r="AG13" s="8"/>
      <c r="AH13" s="8"/>
      <c r="AI13" s="8"/>
    </row>
    <row r="14" spans="1:35" x14ac:dyDescent="0.25">
      <c r="A14" s="4" t="s">
        <v>35</v>
      </c>
      <c r="B14" s="9" t="s">
        <v>36</v>
      </c>
      <c r="C14" s="9"/>
      <c r="D14" s="9"/>
      <c r="E14" s="9"/>
      <c r="J14" s="14" t="s">
        <v>37</v>
      </c>
      <c r="K14" s="14"/>
      <c r="L14" s="14"/>
      <c r="M14" s="14"/>
      <c r="N14" s="14"/>
      <c r="O14" s="14"/>
      <c r="P14" s="14"/>
      <c r="Q14" s="15" t="s">
        <v>38</v>
      </c>
      <c r="R14" s="15"/>
      <c r="S14" s="15"/>
      <c r="T14" s="15"/>
      <c r="U14" s="15"/>
      <c r="V14" s="15"/>
      <c r="W14" s="15"/>
      <c r="X14" s="15" t="s">
        <v>39</v>
      </c>
      <c r="Y14" s="15"/>
      <c r="Z14" s="15"/>
      <c r="AA14" s="15"/>
      <c r="AB14" s="15"/>
      <c r="AC14" s="15"/>
      <c r="AD14" s="15"/>
      <c r="AE14" s="8"/>
      <c r="AF14" s="8"/>
      <c r="AG14" s="8"/>
      <c r="AH14" s="8"/>
      <c r="AI14" s="8"/>
    </row>
    <row r="15" ht="65" customHeight="1" spans="1:35" x14ac:dyDescent="0.25">
      <c r="A15" s="4" t="s">
        <v>40</v>
      </c>
      <c r="B15" s="16" t="s">
        <v>41</v>
      </c>
      <c r="C15" s="16" t="s">
        <v>42</v>
      </c>
      <c r="D15" s="16" t="s">
        <v>43</v>
      </c>
      <c r="E15" s="16" t="s">
        <v>44</v>
      </c>
      <c r="F15" s="17" t="s">
        <v>45</v>
      </c>
      <c r="G15" s="17" t="s">
        <v>46</v>
      </c>
      <c r="H15" s="17" t="s">
        <v>47</v>
      </c>
      <c r="I15" s="17" t="s">
        <v>48</v>
      </c>
      <c r="J15" s="18" t="s">
        <v>49</v>
      </c>
      <c r="K15" s="18" t="s">
        <v>50</v>
      </c>
      <c r="L15" s="18" t="s">
        <v>51</v>
      </c>
      <c r="M15" s="18" t="s">
        <v>45</v>
      </c>
      <c r="N15" s="18" t="s">
        <v>46</v>
      </c>
      <c r="O15" s="18" t="s">
        <v>47</v>
      </c>
      <c r="P15" s="18" t="s">
        <v>48</v>
      </c>
      <c r="Q15" s="19" t="s">
        <v>49</v>
      </c>
      <c r="R15" s="19" t="s">
        <v>50</v>
      </c>
      <c r="S15" s="19" t="s">
        <v>51</v>
      </c>
      <c r="T15" s="19" t="s">
        <v>45</v>
      </c>
      <c r="U15" s="19" t="s">
        <v>46</v>
      </c>
      <c r="V15" s="19" t="s">
        <v>47</v>
      </c>
      <c r="W15" s="19" t="s">
        <v>48</v>
      </c>
      <c r="X15" s="19" t="s">
        <v>49</v>
      </c>
      <c r="Y15" s="19" t="s">
        <v>50</v>
      </c>
      <c r="Z15" s="19" t="s">
        <v>51</v>
      </c>
      <c r="AA15" s="19" t="s">
        <v>45</v>
      </c>
      <c r="AB15" s="19" t="s">
        <v>46</v>
      </c>
      <c r="AC15" s="19" t="s">
        <v>47</v>
      </c>
      <c r="AD15" s="19" t="s">
        <v>48</v>
      </c>
      <c r="AE15" s="20" t="s">
        <v>46</v>
      </c>
      <c r="AF15" s="20" t="s">
        <v>48</v>
      </c>
      <c r="AG15" s="20" t="s">
        <v>48</v>
      </c>
      <c r="AH15" s="20" t="s">
        <v>52</v>
      </c>
      <c r="AI15" s="20" t="s">
        <v>53</v>
      </c>
    </row>
    <row r="16" ht="24" customHeight="1" spans="1:35" x14ac:dyDescent="0.25">
      <c r="A16" s="21">
        <v>1</v>
      </c>
      <c r="B16" s="21" t="s">
        <v>54</v>
      </c>
      <c r="C16" s="22" t="s">
        <v>55</v>
      </c>
      <c r="D16" s="21" t="s">
        <v>56</v>
      </c>
      <c r="E16" s="23">
        <v>5000</v>
      </c>
      <c r="F16" s="23">
        <v>1250</v>
      </c>
      <c r="G16" s="23">
        <f>E16*F16</f>
        <v>6250000</v>
      </c>
      <c r="H16" s="23">
        <v>1400</v>
      </c>
      <c r="I16" s="23">
        <f>E16*H16</f>
        <v>7000000</v>
      </c>
      <c r="J16" s="22" t="s">
        <v>57</v>
      </c>
      <c r="K16" s="23">
        <v>176.99</v>
      </c>
      <c r="L16" s="23">
        <f>E16*K16</f>
        <v>884950</v>
      </c>
      <c r="M16" s="23">
        <v>1000</v>
      </c>
      <c r="N16" s="23">
        <f>E16*M16</f>
        <v>5000000</v>
      </c>
      <c r="O16" s="23">
        <v>1120</v>
      </c>
      <c r="P16" s="23">
        <f>E16*O16</f>
        <v>5600000</v>
      </c>
      <c r="Q16" s="22" t="s">
        <v>58</v>
      </c>
      <c r="R16" s="23">
        <v>194.69</v>
      </c>
      <c r="S16" s="23">
        <f>E16*R16</f>
        <v>973450</v>
      </c>
      <c r="T16" s="23">
        <v>1100</v>
      </c>
      <c r="U16" s="23">
        <f>E16*T16</f>
        <v>5500000</v>
      </c>
      <c r="V16" s="23">
        <v>1232</v>
      </c>
      <c r="W16" s="23">
        <f>E16*V16</f>
        <v>6160000</v>
      </c>
      <c r="X16" s="22" t="s">
        <v>59</v>
      </c>
      <c r="Y16" s="23">
        <v>203.54</v>
      </c>
      <c r="Z16" s="23">
        <f>E16*Y16</f>
        <v>1017700</v>
      </c>
      <c r="AA16" s="23">
        <v>1150</v>
      </c>
      <c r="AB16" s="23">
        <f>E16*AA16</f>
        <v>5750000</v>
      </c>
      <c r="AC16" s="23">
        <v>1288</v>
      </c>
      <c r="AD16" s="23">
        <f>E16*AC16</f>
        <v>6440000</v>
      </c>
      <c r="AE16" s="23">
        <f>G16-N16</f>
      </c>
      <c r="AF16" s="23">
        <f>I16-P16</f>
      </c>
      <c r="AG16" s="24" t="s">
        <v>60</v>
      </c>
      <c r="AH16" s="24" t="s">
        <v>60</v>
      </c>
      <c r="AI16" s="24" t="s">
        <v>60</v>
      </c>
    </row>
    <row r="17" ht="24" customHeight="1" spans="1:35" x14ac:dyDescent="0.25">
      <c r="A17" s="21">
        <f>A16+1</f>
        <v>2</v>
      </c>
      <c r="B17" s="21" t="s">
        <v>61</v>
      </c>
      <c r="C17" s="22" t="s">
        <v>62</v>
      </c>
      <c r="D17" s="21" t="s">
        <v>56</v>
      </c>
      <c r="E17" s="23">
        <v>1500</v>
      </c>
      <c r="F17" s="23">
        <v>1600</v>
      </c>
      <c r="G17" s="23">
        <f>E17*F17</f>
        <v>2400000</v>
      </c>
      <c r="H17" s="23">
        <v>1792</v>
      </c>
      <c r="I17" s="23">
        <f>E17*H17</f>
        <v>2688000</v>
      </c>
      <c r="J17" s="22" t="s">
        <v>63</v>
      </c>
      <c r="K17" s="23">
        <v>230.09</v>
      </c>
      <c r="L17" s="23">
        <f>E17*K17</f>
        <v>345135</v>
      </c>
      <c r="M17" s="23">
        <v>1300</v>
      </c>
      <c r="N17" s="23">
        <f>E17*M17</f>
        <v>1950000</v>
      </c>
      <c r="O17" s="23">
        <v>1456</v>
      </c>
      <c r="P17" s="23">
        <f>E17*O17</f>
        <v>2184000</v>
      </c>
      <c r="Q17" s="22" t="s">
        <v>64</v>
      </c>
      <c r="R17" s="23">
        <v>247.79</v>
      </c>
      <c r="S17" s="23">
        <f>E17*R17</f>
        <v>371685</v>
      </c>
      <c r="T17" s="23">
        <v>1400</v>
      </c>
      <c r="U17" s="23">
        <f>E17*T17</f>
        <v>2100000</v>
      </c>
      <c r="V17" s="23">
        <v>1568</v>
      </c>
      <c r="W17" s="23">
        <f>E17*V17</f>
        <v>2352000</v>
      </c>
      <c r="X17" s="22" t="s">
        <v>65</v>
      </c>
      <c r="Y17" s="23">
        <v>256.64</v>
      </c>
      <c r="Z17" s="23">
        <f>E17*Y17</f>
        <v>384960</v>
      </c>
      <c r="AA17" s="23">
        <v>1450</v>
      </c>
      <c r="AB17" s="23">
        <f>E17*AA17</f>
        <v>2175000</v>
      </c>
      <c r="AC17" s="23">
        <v>1624</v>
      </c>
      <c r="AD17" s="23">
        <f>E17*AC17</f>
        <v>2436000</v>
      </c>
      <c r="AE17" s="23">
        <f>G17-N17</f>
      </c>
      <c r="AF17" s="23">
        <f>I17-P17</f>
      </c>
      <c r="AG17" s="24" t="s">
        <v>60</v>
      </c>
      <c r="AH17" s="24" t="s">
        <v>60</v>
      </c>
      <c r="AI17" s="24" t="s">
        <v>60</v>
      </c>
    </row>
    <row r="18" ht="26" customHeight="1" spans="1:35" x14ac:dyDescent="0.25">
      <c r="A18" s="4" t="s">
        <v>66</v>
      </c>
      <c r="B18" s="25" t="s">
        <v>67</v>
      </c>
      <c r="C18" s="25"/>
      <c r="D18" s="25"/>
      <c r="E18" s="26">
        <f>SUM(E16:E17)</f>
      </c>
      <c r="F18" s="27"/>
      <c r="G18" s="28">
        <f>SUM(G16:G17)</f>
        <v>8650000</v>
      </c>
      <c r="H18" s="27"/>
      <c r="I18" s="28">
        <f>SUM(I16:I17)</f>
        <v>9688000</v>
      </c>
      <c r="J18" s="27"/>
      <c r="K18" s="27"/>
      <c r="L18" s="29">
        <f>SUM(L16:L17)</f>
      </c>
      <c r="M18" s="27"/>
      <c r="N18" s="29">
        <f>SUM(N16:N17)</f>
      </c>
      <c r="O18" s="27"/>
      <c r="P18" s="29">
        <f>SUM(P16:P17)</f>
      </c>
      <c r="Q18" s="27"/>
      <c r="R18" s="27"/>
      <c r="S18" s="30">
        <f>SUM(S16:S17)</f>
      </c>
      <c r="T18" s="27"/>
      <c r="U18" s="30">
        <f>SUM(U16:U17)</f>
      </c>
      <c r="V18" s="27"/>
      <c r="W18" s="30">
        <f>SUM(W16:W17)</f>
      </c>
      <c r="X18" s="27"/>
      <c r="Y18" s="27"/>
      <c r="Z18" s="30">
        <f>SUM(Z16:Z17)</f>
      </c>
      <c r="AA18" s="27"/>
      <c r="AB18" s="30">
        <f>SUM(AB16:AB17)</f>
      </c>
      <c r="AC18" s="27"/>
      <c r="AD18" s="30">
        <f>SUM(AD16:AD17)</f>
      </c>
      <c r="AE18" s="31">
        <f>SUM(AE16:AE17)</f>
      </c>
      <c r="AF18" s="31">
        <f>SUM(AF16:AF17)</f>
      </c>
      <c r="AG18" s="31">
        <f>AF18-165475</f>
      </c>
      <c r="AH18" s="31">
        <f>AF18-AE18</f>
      </c>
      <c r="AI18" s="32">
        <f>AG18/I18</f>
      </c>
    </row>
    <row r="19" ht="36" customHeight="1" spans="1:35" x14ac:dyDescent="0.25">
      <c r="A19" s="4" t="s">
        <v>68</v>
      </c>
      <c r="B19" s="33" t="s">
        <v>69</v>
      </c>
      <c r="C19" s="33"/>
      <c r="D19" s="33"/>
      <c r="E19" s="33"/>
      <c r="F19" s="27"/>
      <c r="G19" s="27"/>
      <c r="H19" s="27"/>
      <c r="I19" s="27"/>
      <c r="J19" s="34">
        <f>P18*(1-3/100)</f>
      </c>
      <c r="K19" s="34"/>
      <c r="L19" s="34"/>
      <c r="M19" s="34"/>
      <c r="N19" s="34"/>
      <c r="O19" s="34"/>
      <c r="P19" s="34"/>
      <c r="Q19" s="35">
        <f>W18</f>
      </c>
      <c r="R19" s="35"/>
      <c r="S19" s="35"/>
      <c r="T19" s="35"/>
      <c r="U19" s="35"/>
      <c r="V19" s="35"/>
      <c r="W19" s="35"/>
      <c r="X19" s="35">
        <f>AD18</f>
      </c>
      <c r="Y19" s="35"/>
      <c r="Z19" s="35"/>
      <c r="AA19" s="35"/>
      <c r="AB19" s="35"/>
      <c r="AC19" s="35"/>
      <c r="AD19" s="35"/>
      <c r="AE19" s="27"/>
      <c r="AF19" s="27"/>
      <c r="AG19" s="27"/>
      <c r="AH19" s="27"/>
      <c r="AI19" s="27"/>
    </row>
    <row r="20" ht="45" customHeight="1" spans="1:35" x14ac:dyDescent="0.25">
      <c r="A20" s="36" t="s">
        <v>70</v>
      </c>
      <c r="B20" s="22" t="s">
        <v>71</v>
      </c>
      <c r="C20" s="22"/>
      <c r="D20" s="22"/>
      <c r="E20" s="22"/>
      <c r="F20" s="27"/>
      <c r="G20" s="27"/>
      <c r="H20" s="27"/>
      <c r="I20" s="27"/>
      <c r="J20" s="37" t="s">
        <v>72</v>
      </c>
      <c r="K20" s="37"/>
      <c r="L20" s="37"/>
      <c r="M20" s="37"/>
      <c r="N20" s="37"/>
      <c r="O20" s="37"/>
      <c r="P20" s="37"/>
      <c r="Q20" s="38" t="s">
        <v>73</v>
      </c>
      <c r="R20" s="38"/>
      <c r="S20" s="38"/>
      <c r="T20" s="38"/>
      <c r="U20" s="38"/>
      <c r="V20" s="38"/>
      <c r="W20" s="38"/>
      <c r="X20" s="38" t="s">
        <v>74</v>
      </c>
      <c r="Y20" s="38"/>
      <c r="Z20" s="38"/>
      <c r="AA20" s="38"/>
      <c r="AB20" s="38"/>
      <c r="AC20" s="38"/>
      <c r="AD20" s="38"/>
      <c r="AE20" s="27"/>
      <c r="AF20" s="27"/>
      <c r="AG20" s="27"/>
      <c r="AH20" s="27"/>
      <c r="AI20" s="27"/>
    </row>
    <row r="21" ht="20" customHeight="1" spans="1:35" x14ac:dyDescent="0.25">
      <c r="A21" s="36" t="s">
        <v>75</v>
      </c>
      <c r="B21" s="22" t="s">
        <v>76</v>
      </c>
      <c r="C21" s="22"/>
      <c r="D21" s="22"/>
      <c r="E21" s="22"/>
      <c r="F21" s="27"/>
      <c r="G21" s="27"/>
      <c r="H21" s="27"/>
      <c r="I21" s="27"/>
      <c r="J21" s="37" t="s">
        <v>77</v>
      </c>
      <c r="K21" s="37"/>
      <c r="L21" s="37"/>
      <c r="M21" s="37"/>
      <c r="N21" s="37"/>
      <c r="O21" s="37"/>
      <c r="P21" s="37"/>
      <c r="Q21" s="38" t="s">
        <v>77</v>
      </c>
      <c r="R21" s="38"/>
      <c r="S21" s="38"/>
      <c r="T21" s="38"/>
      <c r="U21" s="38"/>
      <c r="V21" s="38"/>
      <c r="W21" s="38"/>
      <c r="X21" s="38" t="s">
        <v>77</v>
      </c>
      <c r="Y21" s="38"/>
      <c r="Z21" s="38"/>
      <c r="AA21" s="38"/>
      <c r="AB21" s="38"/>
      <c r="AC21" s="38"/>
      <c r="AD21" s="38"/>
      <c r="AE21" s="27"/>
      <c r="AF21" s="27"/>
      <c r="AG21" s="27"/>
      <c r="AH21" s="27"/>
      <c r="AI21" s="27"/>
    </row>
    <row r="22" ht="20" customHeight="1" spans="1:35" x14ac:dyDescent="0.25">
      <c r="A22" s="36" t="s">
        <v>78</v>
      </c>
      <c r="B22" s="22" t="s">
        <v>79</v>
      </c>
      <c r="C22" s="22"/>
      <c r="D22" s="22"/>
      <c r="E22" s="22"/>
      <c r="F22" s="27"/>
      <c r="G22" s="27"/>
      <c r="H22" s="27"/>
      <c r="I22" s="27"/>
      <c r="J22" s="37" t="s">
        <v>80</v>
      </c>
      <c r="K22" s="37"/>
      <c r="L22" s="37"/>
      <c r="M22" s="37"/>
      <c r="N22" s="37"/>
      <c r="O22" s="37"/>
      <c r="P22" s="37"/>
      <c r="Q22" s="38" t="s">
        <v>80</v>
      </c>
      <c r="R22" s="38"/>
      <c r="S22" s="38"/>
      <c r="T22" s="38"/>
      <c r="U22" s="38"/>
      <c r="V22" s="38"/>
      <c r="W22" s="38"/>
      <c r="X22" s="38" t="s">
        <v>80</v>
      </c>
      <c r="Y22" s="38"/>
      <c r="Z22" s="38"/>
      <c r="AA22" s="38"/>
      <c r="AB22" s="38"/>
      <c r="AC22" s="38"/>
      <c r="AD22" s="38"/>
      <c r="AE22" s="27"/>
      <c r="AF22" s="27"/>
      <c r="AG22" s="27"/>
      <c r="AH22" s="27"/>
      <c r="AI22" s="27"/>
    </row>
    <row r="23" ht="30" customHeight="1" spans="1:35" x14ac:dyDescent="0.25">
      <c r="A23" s="36" t="s">
        <v>81</v>
      </c>
      <c r="B23" s="22" t="s">
        <v>82</v>
      </c>
      <c r="C23" s="22"/>
      <c r="D23" s="22"/>
      <c r="E23" s="22"/>
      <c r="F23" s="27"/>
      <c r="G23" s="27"/>
      <c r="H23" s="27"/>
      <c r="I23" s="27"/>
      <c r="J23" s="37" t="s">
        <v>83</v>
      </c>
      <c r="K23" s="37"/>
      <c r="L23" s="37"/>
      <c r="M23" s="37"/>
      <c r="N23" s="37"/>
      <c r="O23" s="37"/>
      <c r="P23" s="37"/>
      <c r="Q23" s="38" t="s">
        <v>84</v>
      </c>
      <c r="R23" s="38"/>
      <c r="S23" s="38"/>
      <c r="T23" s="38"/>
      <c r="U23" s="38"/>
      <c r="V23" s="38"/>
      <c r="W23" s="38"/>
      <c r="X23" s="38" t="s">
        <v>85</v>
      </c>
      <c r="Y23" s="38"/>
      <c r="Z23" s="38"/>
      <c r="AA23" s="38"/>
      <c r="AB23" s="38"/>
      <c r="AC23" s="38"/>
      <c r="AD23" s="38"/>
      <c r="AE23" s="27"/>
      <c r="AF23" s="27"/>
      <c r="AG23" s="27"/>
      <c r="AH23" s="27"/>
      <c r="AI23" s="27"/>
    </row>
    <row r="24" ht="20" customHeight="1" spans="1:35" x14ac:dyDescent="0.25">
      <c r="A24" s="36" t="s">
        <v>86</v>
      </c>
      <c r="B24" s="22" t="s">
        <v>87</v>
      </c>
      <c r="C24" s="22"/>
      <c r="D24" s="22"/>
      <c r="E24" s="22"/>
      <c r="F24" s="27"/>
      <c r="G24" s="27"/>
      <c r="H24" s="27"/>
      <c r="I24" s="27"/>
      <c r="J24" s="37" t="s">
        <v>88</v>
      </c>
      <c r="K24" s="37"/>
      <c r="L24" s="37"/>
      <c r="M24" s="37"/>
      <c r="N24" s="37"/>
      <c r="O24" s="37"/>
      <c r="P24" s="37"/>
      <c r="Q24" s="38" t="s">
        <v>89</v>
      </c>
      <c r="R24" s="38"/>
      <c r="S24" s="38"/>
      <c r="T24" s="38"/>
      <c r="U24" s="38"/>
      <c r="V24" s="38"/>
      <c r="W24" s="38"/>
      <c r="X24" s="38" t="s">
        <v>89</v>
      </c>
      <c r="Y24" s="38"/>
      <c r="Z24" s="38"/>
      <c r="AA24" s="38"/>
      <c r="AB24" s="38"/>
      <c r="AC24" s="38"/>
      <c r="AD24" s="38"/>
      <c r="AE24" s="27"/>
      <c r="AF24" s="27"/>
      <c r="AG24" s="27"/>
      <c r="AH24" s="27"/>
      <c r="AI24" s="27"/>
    </row>
    <row r="25" ht="30" customHeight="1" spans="1:35" x14ac:dyDescent="0.25">
      <c r="A25" s="36" t="s">
        <v>90</v>
      </c>
      <c r="B25" s="22" t="s">
        <v>91</v>
      </c>
      <c r="C25" s="22"/>
      <c r="D25" s="22"/>
      <c r="E25" s="22"/>
      <c r="F25" s="27"/>
      <c r="G25" s="27"/>
      <c r="H25" s="27"/>
      <c r="I25" s="27"/>
      <c r="J25" s="37" t="s">
        <v>92</v>
      </c>
      <c r="K25" s="37"/>
      <c r="L25" s="37"/>
      <c r="M25" s="37"/>
      <c r="N25" s="37"/>
      <c r="O25" s="37"/>
      <c r="P25" s="37"/>
      <c r="Q25" s="38" t="s">
        <v>93</v>
      </c>
      <c r="R25" s="38"/>
      <c r="S25" s="38"/>
      <c r="T25" s="38"/>
      <c r="U25" s="38"/>
      <c r="V25" s="38"/>
      <c r="W25" s="38"/>
      <c r="X25" s="38" t="s">
        <v>94</v>
      </c>
      <c r="Y25" s="38"/>
      <c r="Z25" s="38"/>
      <c r="AA25" s="38"/>
      <c r="AB25" s="38"/>
      <c r="AC25" s="38"/>
      <c r="AD25" s="38"/>
      <c r="AE25" s="27"/>
      <c r="AF25" s="27"/>
      <c r="AG25" s="27"/>
      <c r="AH25" s="27"/>
      <c r="AI25" s="27"/>
    </row>
    <row r="26" ht="20" customHeight="1" spans="1:35" x14ac:dyDescent="0.25">
      <c r="A26" s="36" t="s">
        <v>95</v>
      </c>
      <c r="B26" s="22" t="s">
        <v>96</v>
      </c>
      <c r="C26" s="22"/>
      <c r="D26" s="22"/>
      <c r="E26" s="22"/>
      <c r="F26" s="27"/>
      <c r="G26" s="27"/>
      <c r="H26" s="27"/>
      <c r="I26" s="27"/>
      <c r="J26" s="37" t="s">
        <v>97</v>
      </c>
      <c r="K26" s="37"/>
      <c r="L26" s="37"/>
      <c r="M26" s="37"/>
      <c r="N26" s="37"/>
      <c r="O26" s="37"/>
      <c r="P26" s="37"/>
      <c r="Q26" s="38" t="s">
        <v>98</v>
      </c>
      <c r="R26" s="38"/>
      <c r="S26" s="38"/>
      <c r="T26" s="38"/>
      <c r="U26" s="38"/>
      <c r="V26" s="38"/>
      <c r="W26" s="38"/>
      <c r="X26" s="38" t="s">
        <v>99</v>
      </c>
      <c r="Y26" s="38"/>
      <c r="Z26" s="38"/>
      <c r="AA26" s="38"/>
      <c r="AB26" s="38"/>
      <c r="AC26" s="38"/>
      <c r="AD26" s="38"/>
      <c r="AE26" s="27"/>
      <c r="AF26" s="27"/>
      <c r="AG26" s="27"/>
      <c r="AH26" s="27"/>
      <c r="AI26" s="27"/>
    </row>
    <row r="27" ht="20" customHeight="1" spans="1:35" x14ac:dyDescent="0.25">
      <c r="A27" s="36" t="s">
        <v>100</v>
      </c>
      <c r="B27" s="22" t="s">
        <v>101</v>
      </c>
      <c r="C27" s="22"/>
      <c r="D27" s="22"/>
      <c r="E27" s="22"/>
      <c r="F27" s="27"/>
      <c r="G27" s="27"/>
      <c r="H27" s="27"/>
      <c r="I27" s="27"/>
      <c r="J27" s="37" t="s">
        <v>102</v>
      </c>
      <c r="K27" s="37"/>
      <c r="L27" s="37"/>
      <c r="M27" s="37"/>
      <c r="N27" s="37"/>
      <c r="O27" s="37"/>
      <c r="P27" s="37"/>
      <c r="Q27" s="38" t="s">
        <v>103</v>
      </c>
      <c r="R27" s="38"/>
      <c r="S27" s="38"/>
      <c r="T27" s="38"/>
      <c r="U27" s="38"/>
      <c r="V27" s="38"/>
      <c r="W27" s="38"/>
      <c r="X27" s="38" t="s">
        <v>104</v>
      </c>
      <c r="Y27" s="38"/>
      <c r="Z27" s="38"/>
      <c r="AA27" s="38"/>
      <c r="AB27" s="38"/>
      <c r="AC27" s="38"/>
      <c r="AD27" s="38"/>
      <c r="AE27" s="27"/>
      <c r="AF27" s="27"/>
      <c r="AG27" s="27"/>
      <c r="AH27" s="27"/>
      <c r="AI27" s="27"/>
    </row>
    <row r="28" ht="20" customHeight="1" spans="1:35" x14ac:dyDescent="0.25">
      <c r="A28" s="36" t="s">
        <v>105</v>
      </c>
      <c r="B28" s="22" t="s">
        <v>106</v>
      </c>
      <c r="C28" s="22"/>
      <c r="D28" s="22"/>
      <c r="E28" s="22"/>
      <c r="F28" s="27"/>
      <c r="G28" s="27"/>
      <c r="H28" s="27"/>
      <c r="I28" s="27"/>
      <c r="J28" s="37" t="s">
        <v>107</v>
      </c>
      <c r="K28" s="37"/>
      <c r="L28" s="37"/>
      <c r="M28" s="37"/>
      <c r="N28" s="37"/>
      <c r="O28" s="37"/>
      <c r="P28" s="37"/>
      <c r="Q28" s="38" t="s">
        <v>108</v>
      </c>
      <c r="R28" s="38"/>
      <c r="S28" s="38"/>
      <c r="T28" s="38"/>
      <c r="U28" s="38"/>
      <c r="V28" s="38"/>
      <c r="W28" s="38"/>
      <c r="X28" s="38" t="s">
        <v>109</v>
      </c>
      <c r="Y28" s="38"/>
      <c r="Z28" s="38"/>
      <c r="AA28" s="38"/>
      <c r="AB28" s="38"/>
      <c r="AC28" s="38"/>
      <c r="AD28" s="38"/>
      <c r="AE28" s="27"/>
      <c r="AF28" s="27"/>
      <c r="AG28" s="27"/>
      <c r="AH28" s="27"/>
      <c r="AI28" s="27"/>
    </row>
    <row r="29" ht="20" customHeight="1" spans="1:35" x14ac:dyDescent="0.25">
      <c r="A29" s="36" t="s">
        <v>110</v>
      </c>
      <c r="B29" s="22" t="s">
        <v>111</v>
      </c>
      <c r="C29" s="22"/>
      <c r="D29" s="22"/>
      <c r="E29" s="22"/>
      <c r="F29" s="27"/>
      <c r="G29" s="27"/>
      <c r="H29" s="27"/>
      <c r="I29" s="27"/>
      <c r="J29" s="37" t="s">
        <v>112</v>
      </c>
      <c r="K29" s="37"/>
      <c r="L29" s="37"/>
      <c r="M29" s="37"/>
      <c r="N29" s="37"/>
      <c r="O29" s="37"/>
      <c r="P29" s="37"/>
      <c r="Q29" s="38" t="s">
        <v>112</v>
      </c>
      <c r="R29" s="38"/>
      <c r="S29" s="38"/>
      <c r="T29" s="38"/>
      <c r="U29" s="38"/>
      <c r="V29" s="38"/>
      <c r="W29" s="38"/>
      <c r="X29" s="38" t="s">
        <v>113</v>
      </c>
      <c r="Y29" s="38"/>
      <c r="Z29" s="38"/>
      <c r="AA29" s="38"/>
      <c r="AB29" s="38"/>
      <c r="AC29" s="38"/>
      <c r="AD29" s="38"/>
      <c r="AE29" s="27"/>
      <c r="AF29" s="27"/>
      <c r="AG29" s="27"/>
      <c r="AH29" s="27"/>
      <c r="AI29" s="27"/>
    </row>
    <row r="30" ht="30" customHeight="1" spans="1:35" x14ac:dyDescent="0.25">
      <c r="A30" s="36" t="s">
        <v>114</v>
      </c>
      <c r="B30" s="22" t="s">
        <v>115</v>
      </c>
      <c r="C30" s="22"/>
      <c r="D30" s="22"/>
      <c r="E30" s="22"/>
      <c r="F30" s="27"/>
      <c r="G30" s="27"/>
      <c r="H30" s="27"/>
      <c r="I30" s="27"/>
      <c r="J30" s="37" t="s">
        <v>116</v>
      </c>
      <c r="K30" s="37"/>
      <c r="L30" s="37"/>
      <c r="M30" s="37"/>
      <c r="N30" s="37"/>
      <c r="O30" s="37"/>
      <c r="P30" s="37"/>
      <c r="Q30" s="38" t="s">
        <v>117</v>
      </c>
      <c r="R30" s="38"/>
      <c r="S30" s="38"/>
      <c r="T30" s="38"/>
      <c r="U30" s="38"/>
      <c r="V30" s="38"/>
      <c r="W30" s="38"/>
      <c r="X30" s="38" t="s">
        <v>118</v>
      </c>
      <c r="Y30" s="38"/>
      <c r="Z30" s="38"/>
      <c r="AA30" s="38"/>
      <c r="AB30" s="38"/>
      <c r="AC30" s="38"/>
      <c r="AD30" s="38"/>
      <c r="AE30" s="27"/>
      <c r="AF30" s="27"/>
      <c r="AG30" s="27"/>
      <c r="AH30" s="27"/>
      <c r="AI30" s="27"/>
    </row>
    <row r="32" ht="24" customHeight="1" spans="2:12" x14ac:dyDescent="0.25">
      <c r="B32" s="39" t="s">
        <v>119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</row>
  </sheetData>
  <mergeCells count="84">
    <mergeCell ref="A2:AI2"/>
    <mergeCell ref="A3:AI3"/>
    <mergeCell ref="C4:J4"/>
    <mergeCell ref="A5:J5"/>
    <mergeCell ref="A6:O6"/>
    <mergeCell ref="A7:J7"/>
    <mergeCell ref="A8:J8"/>
    <mergeCell ref="A9:J9"/>
    <mergeCell ref="B10:E10"/>
    <mergeCell ref="F10:I13"/>
    <mergeCell ref="J10:P10"/>
    <mergeCell ref="Q10:W10"/>
    <mergeCell ref="X10:AD10"/>
    <mergeCell ref="B11:E11"/>
    <mergeCell ref="J11:P11"/>
    <mergeCell ref="Q11:W11"/>
    <mergeCell ref="X11:AD11"/>
    <mergeCell ref="AE10:AE14"/>
    <mergeCell ref="AF10:AF14"/>
    <mergeCell ref="AG10:AG14"/>
    <mergeCell ref="AH10:AH14"/>
    <mergeCell ref="AI10:AI14"/>
    <mergeCell ref="B12:E12"/>
    <mergeCell ref="J12:P12"/>
    <mergeCell ref="Q12:W12"/>
    <mergeCell ref="X12:AD12"/>
    <mergeCell ref="B13:E13"/>
    <mergeCell ref="J13:P13"/>
    <mergeCell ref="Q13:W13"/>
    <mergeCell ref="X13:AD13"/>
    <mergeCell ref="B14:E14"/>
    <mergeCell ref="J14:P14"/>
    <mergeCell ref="Q14:W14"/>
    <mergeCell ref="X14:AD14"/>
    <mergeCell ref="B18:D18"/>
    <mergeCell ref="B19:E19"/>
    <mergeCell ref="J19:P19"/>
    <mergeCell ref="Q19:W19"/>
    <mergeCell ref="X19:AD19"/>
    <mergeCell ref="B20:E20"/>
    <mergeCell ref="J20:P20"/>
    <mergeCell ref="Q20:W20"/>
    <mergeCell ref="X20:AD20"/>
    <mergeCell ref="B21:E21"/>
    <mergeCell ref="J21:P21"/>
    <mergeCell ref="Q21:W21"/>
    <mergeCell ref="X21:AD21"/>
    <mergeCell ref="B22:E22"/>
    <mergeCell ref="J22:P22"/>
    <mergeCell ref="Q22:W22"/>
    <mergeCell ref="X22:AD22"/>
    <mergeCell ref="B23:E23"/>
    <mergeCell ref="J23:P23"/>
    <mergeCell ref="Q23:W23"/>
    <mergeCell ref="X23:AD23"/>
    <mergeCell ref="B24:E24"/>
    <mergeCell ref="J24:P24"/>
    <mergeCell ref="Q24:W24"/>
    <mergeCell ref="X24:AD24"/>
    <mergeCell ref="B25:E25"/>
    <mergeCell ref="J25:P25"/>
    <mergeCell ref="Q25:W25"/>
    <mergeCell ref="X25:AD25"/>
    <mergeCell ref="B26:E26"/>
    <mergeCell ref="J26:P26"/>
    <mergeCell ref="Q26:W26"/>
    <mergeCell ref="X26:AD26"/>
    <mergeCell ref="B27:E27"/>
    <mergeCell ref="J27:P27"/>
    <mergeCell ref="Q27:W27"/>
    <mergeCell ref="X27:AD27"/>
    <mergeCell ref="B28:E28"/>
    <mergeCell ref="J28:P28"/>
    <mergeCell ref="Q28:W28"/>
    <mergeCell ref="X28:AD28"/>
    <mergeCell ref="B29:E29"/>
    <mergeCell ref="J29:P29"/>
    <mergeCell ref="Q29:W29"/>
    <mergeCell ref="X29:AD29"/>
    <mergeCell ref="B30:E30"/>
    <mergeCell ref="J30:P30"/>
    <mergeCell ref="Q30:W30"/>
    <mergeCell ref="X30:AD30"/>
    <mergeCell ref="B32:L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Конкурентный лист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TenderAI Platform</dc:creator>
  <dc:title/>
  <dc:subject/>
  <dc:description/>
  <cp:keywords/>
  <cp:category/>
  <cp:lastModifiedBy>Unknown</cp:lastModifiedBy>
  <dcterms:created xsi:type="dcterms:W3CDTF">2026-08-25T05:26:02Z</dcterms:created>
  <dcterms:modified xsi:type="dcterms:W3CDTF">2026-08-25T05:26:02Z</dcterms:modified>
</cp:coreProperties>
</file>